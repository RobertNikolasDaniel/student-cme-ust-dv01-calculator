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lculator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"/>
    <numFmt numFmtId="166" formatCode="$#,##0.00;[Red]($#,##0.00);-"/>
  </numFmts>
  <fonts count="13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  <font>
      <name val="Carlito"/>
      <b val="1"/>
      <sz val="11"/>
    </font>
    <font>
      <name val="Carlito"/>
      <color rgb="000000FF"/>
      <sz val="11"/>
    </font>
    <font>
      <name val="Carlito"/>
      <i val="1"/>
      <color rgb="006B7280"/>
      <sz val="11"/>
    </font>
    <font>
      <name val="Carlito"/>
      <color rgb="00111827"/>
      <sz val="11"/>
    </font>
    <font>
      <name val="Carlito"/>
      <b val="1"/>
      <color rgb="00FFFFFF"/>
      <sz val="15"/>
    </font>
    <font>
      <name val="Carlito"/>
      <color rgb="00000000"/>
      <sz val="11"/>
    </font>
    <font>
      <name val="Carlito"/>
      <b val="1"/>
      <color rgb="000000FF"/>
      <sz val="11"/>
    </font>
    <font>
      <name val="Aptos"/>
      <b val="1"/>
      <color rgb="00FFFFFF"/>
      <sz val="10"/>
    </font>
    <font>
      <name val="Aptos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/>
    <border/>
  </borders>
  <cellStyleXfs count="1">
    <xf numFmtId="0" fontId="0" fillId="0" borderId="1"/>
  </cellStyleXfs>
  <cellXfs count="1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2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" fontId="4" fillId="0" borderId="0" pivotButton="0" quotePrefix="0" xfId="0"/>
    <xf numFmtId="2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0" fillId="5" borderId="1" pivotButton="0" quotePrefix="0" xfId="0"/>
    <xf numFmtId="0" fontId="6" fillId="5" borderId="1" pivotButton="0" quotePrefix="0" xfId="0"/>
    <xf numFmtId="0" fontId="6" fillId="5" borderId="1" applyAlignment="1" pivotButton="0" quotePrefix="0" xfId="0">
      <alignment wrapText="1"/>
    </xf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8" fillId="0" borderId="0" pivotButton="0" quotePrefix="0" xfId="0"/>
    <xf numFmtId="0" fontId="8" fillId="0" borderId="1" pivotButton="0" quotePrefix="0" xfId="0"/>
    <xf numFmtId="166" fontId="8" fillId="0" borderId="0" pivotButton="0" quotePrefix="0" xfId="0"/>
    <xf numFmtId="166" fontId="8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4" borderId="0" pivotButton="0" quotePrefix="0" xfId="0"/>
    <xf numFmtId="0" fontId="9" fillId="4" borderId="0" pivotButton="0" quotePrefix="0" xfId="0"/>
    <xf numFmtId="0" fontId="4" fillId="4" borderId="1" pivotButton="0" quotePrefix="0" xfId="0"/>
    <xf numFmtId="0" fontId="9" fillId="4" borderId="1" pivotButton="0" quotePrefix="0" xfId="0"/>
    <xf numFmtId="166" fontId="4" fillId="0" borderId="0" pivotButton="0" quotePrefix="0" xfId="0"/>
    <xf numFmtId="166" fontId="4" fillId="0" borderId="1" pivotButton="0" quotePrefix="0" xfId="0"/>
    <xf numFmtId="0" fontId="4" fillId="0" borderId="0" applyAlignment="1" pivotButton="0" quotePrefix="0" xfId="0">
      <alignment wrapText="1"/>
    </xf>
    <xf numFmtId="166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166" fontId="4" fillId="0" borderId="1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10" fillId="2" borderId="0" applyAlignment="1" pivotButton="0" quotePrefix="0" xfId="0">
      <alignment horizontal="center" vertical="center"/>
    </xf>
    <xf numFmtId="0" fontId="11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  <xf numFmtId="0" fontId="1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10" fillId="2" borderId="0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12" fillId="0" borderId="0" pivotButton="0" quotePrefix="0" xfId="0"/>
  </cellXfs>
  <cellStyles count="1">
    <cellStyle name="Normal" xfId="0"/>
  </cellStyles>
  <dxfs count="1">
    <dxf>
      <fill>
        <patternFill patternType="solid">
          <bgColor rgb="00E0F2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2" customWidth="1" min="4" max="4"/>
    <col width="32" customWidth="1" min="5" max="5"/>
    <col width="20" customWidth="1" min="6" max="6"/>
  </cols>
  <sheetData>
    <row r="1" ht="30" customHeight="1">
      <c r="A1" s="74" t="inlineStr">
        <is>
          <t>Student CME UST Futures DV01 Calculator</t>
        </is>
      </c>
      <c r="B1" s="1" t="n"/>
      <c r="C1" s="1" t="n"/>
      <c r="D1" s="1" t="n"/>
      <c r="E1" s="1" t="n"/>
      <c r="F1" s="1" t="n"/>
      <c r="G1" s="1" t="n"/>
      <c r="H1" s="1" t="n"/>
      <c r="I1" s="76" t="n"/>
      <c r="J1" s="76" t="n"/>
      <c r="K1" s="76" t="n"/>
    </row>
    <row r="2">
      <c r="A2" s="77" t="n"/>
      <c r="B2" s="77" t="n"/>
      <c r="C2" s="77" t="n"/>
      <c r="D2" s="77" t="n"/>
      <c r="E2" s="77" t="n"/>
      <c r="F2" s="77" t="n"/>
      <c r="G2" s="77" t="n"/>
      <c r="H2" s="77" t="n"/>
      <c r="I2" s="77" t="n"/>
      <c r="J2" s="77" t="n"/>
      <c r="K2" s="77" t="n"/>
    </row>
    <row r="3">
      <c r="A3" s="93" t="inlineStr">
        <is>
          <t>Single CTD Futures DV01 Engine</t>
        </is>
      </c>
      <c r="B3" s="1" t="n"/>
      <c r="C3" s="1" t="n"/>
      <c r="D3" s="1" t="n"/>
      <c r="E3" s="1" t="n"/>
      <c r="F3" s="1" t="n"/>
      <c r="G3" s="1" t="n"/>
      <c r="H3" s="1" t="n"/>
      <c r="I3" s="77" t="n"/>
      <c r="J3" s="77" t="n"/>
      <c r="K3" s="77" t="n"/>
    </row>
    <row r="4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</row>
    <row r="5">
      <c r="A5" s="79" t="inlineStr">
        <is>
          <t>Input</t>
        </is>
      </c>
      <c r="B5" s="79" t="inlineStr">
        <is>
          <t>Value</t>
        </is>
      </c>
      <c r="C5" s="77" t="n"/>
      <c r="D5" s="79" t="inlineStr">
        <is>
          <t>Output</t>
        </is>
      </c>
      <c r="E5" s="79" t="inlineStr">
        <is>
          <t>Formula</t>
        </is>
      </c>
      <c r="F5" s="79" t="inlineStr">
        <is>
          <t>Result</t>
        </is>
      </c>
      <c r="G5" s="77" t="n"/>
      <c r="H5" s="77" t="n"/>
      <c r="I5" s="77" t="n"/>
      <c r="J5" s="77" t="n"/>
      <c r="K5" s="77" t="n"/>
    </row>
    <row r="6">
      <c r="A6" s="80" t="inlineStr">
        <is>
          <t>Futures Contract</t>
        </is>
      </c>
      <c r="B6" s="81" t="inlineStr">
        <is>
          <t>ZN</t>
        </is>
      </c>
      <c r="C6" s="77" t="n"/>
      <c r="D6" s="80" t="inlineStr">
        <is>
          <t>CTD Market Value</t>
        </is>
      </c>
      <c r="E6" s="120" t="inlineStr">
        <is>
          <t>=(Price/100)*Face</t>
        </is>
      </c>
      <c r="F6" s="121">
        <f>(B7/100)*B10</f>
        <v/>
      </c>
      <c r="G6" s="77" t="n"/>
      <c r="H6" s="77" t="n"/>
      <c r="I6" s="77" t="n"/>
      <c r="J6" s="77" t="n"/>
      <c r="K6" s="77" t="n"/>
    </row>
    <row r="7">
      <c r="A7" s="80" t="inlineStr">
        <is>
          <t>CTD Price (% of par)</t>
        </is>
      </c>
      <c r="B7" s="122" t="n">
        <v>108.5</v>
      </c>
      <c r="C7" s="77" t="n"/>
      <c r="D7" s="80" t="inlineStr">
        <is>
          <t>CTD DV01</t>
        </is>
      </c>
      <c r="E7" s="120" t="inlineStr">
        <is>
          <t>=Market Value*Duration*0.0001</t>
        </is>
      </c>
      <c r="F7" s="121">
        <f>F6*B8*0.0001</f>
        <v/>
      </c>
      <c r="G7" s="77" t="n"/>
      <c r="H7" s="77" t="n"/>
      <c r="I7" s="77" t="n"/>
      <c r="J7" s="77" t="n"/>
      <c r="K7" s="77" t="n"/>
    </row>
    <row r="8">
      <c r="A8" s="80" t="inlineStr">
        <is>
          <t>CTD Modified Duration</t>
        </is>
      </c>
      <c r="B8" s="122" t="n">
        <v>7.35</v>
      </c>
      <c r="C8" s="77" t="n"/>
      <c r="D8" s="80" t="inlineStr">
        <is>
          <t>Futures DV01</t>
        </is>
      </c>
      <c r="E8" s="120" t="inlineStr">
        <is>
          <t>=CTD DV01 / Conversion Factor</t>
        </is>
      </c>
      <c r="F8" s="121">
        <f>F7/B9</f>
        <v/>
      </c>
      <c r="G8" s="77" t="n"/>
      <c r="H8" s="77" t="n"/>
      <c r="I8" s="77" t="n"/>
      <c r="J8" s="77" t="n"/>
      <c r="K8" s="77" t="n"/>
    </row>
    <row r="9">
      <c r="A9" s="80" t="inlineStr">
        <is>
          <t>Conversion Factor</t>
        </is>
      </c>
      <c r="B9" s="123" t="n">
        <v>0.8125</v>
      </c>
      <c r="C9" s="77" t="n"/>
      <c r="D9" s="80" t="inlineStr">
        <is>
          <t>Position DV01</t>
        </is>
      </c>
      <c r="E9" s="120" t="inlineStr">
        <is>
          <t>=Futures DV01 * Contracts * Direction</t>
        </is>
      </c>
      <c r="F9" s="121">
        <f>F8*B11*IF(B12="Long",1,-1)</f>
        <v/>
      </c>
      <c r="G9" s="77" t="n"/>
      <c r="H9" s="77" t="n"/>
      <c r="I9" s="77" t="n"/>
      <c r="J9" s="77" t="n"/>
      <c r="K9" s="77" t="n"/>
    </row>
    <row r="10">
      <c r="A10" s="80" t="inlineStr">
        <is>
          <t>Contract Face Value ($)</t>
        </is>
      </c>
      <c r="B10" s="124" t="n">
        <v>100000</v>
      </c>
      <c r="C10" s="77" t="n"/>
      <c r="D10" s="80" t="inlineStr">
        <is>
          <t>1 bp Yield Rise P&amp;L</t>
        </is>
      </c>
      <c r="E10" s="120" t="inlineStr">
        <is>
          <t>=-Position DV01</t>
        </is>
      </c>
      <c r="F10" s="121">
        <f>-F9</f>
        <v/>
      </c>
      <c r="G10" s="77" t="n"/>
      <c r="H10" s="77" t="n"/>
      <c r="I10" s="77" t="n"/>
      <c r="J10" s="77" t="n"/>
      <c r="K10" s="77" t="n"/>
    </row>
    <row r="11">
      <c r="A11" s="80" t="inlineStr">
        <is>
          <t>Contracts Held</t>
        </is>
      </c>
      <c r="B11" s="125" t="n">
        <v>10</v>
      </c>
      <c r="C11" s="77" t="n"/>
      <c r="D11" s="80" t="inlineStr">
        <is>
          <t>1 bp Yield Fall P&amp;L</t>
        </is>
      </c>
      <c r="E11" s="120" t="inlineStr">
        <is>
          <t>=Position DV01</t>
        </is>
      </c>
      <c r="F11" s="121">
        <f>F9</f>
        <v/>
      </c>
      <c r="G11" s="77" t="n"/>
      <c r="H11" s="77" t="n"/>
      <c r="I11" s="77" t="n"/>
      <c r="J11" s="77" t="n"/>
      <c r="K11" s="77" t="n"/>
    </row>
    <row r="12">
      <c r="A12" s="80" t="inlineStr">
        <is>
          <t>Position Direction</t>
        </is>
      </c>
      <c r="B12" s="81" t="inlineStr">
        <is>
          <t>Long</t>
        </is>
      </c>
      <c r="C12" s="77" t="n"/>
      <c r="D12" s="80" t="inlineStr">
        <is>
          <t>Exposure Note</t>
        </is>
      </c>
      <c r="E12" s="120" t="inlineStr">
        <is>
          <t>Positive DV01 gains when yields fall</t>
        </is>
      </c>
      <c r="F12" s="88">
        <f>IF(F9&gt;0,"Long futures/rates-bullish exposure",IF(F9&lt;0,"Short futures/rates-bearish exposure","Flat exposure"))</f>
        <v/>
      </c>
      <c r="G12" s="77" t="n"/>
      <c r="H12" s="77" t="n"/>
      <c r="I12" s="77" t="n"/>
      <c r="J12" s="77" t="n"/>
      <c r="K12" s="77" t="n"/>
    </row>
    <row r="13">
      <c r="A13" s="77" t="n"/>
      <c r="B13" s="77" t="n"/>
      <c r="C13" s="77" t="n"/>
      <c r="D13" s="77" t="n"/>
      <c r="E13" s="77" t="n"/>
      <c r="F13" s="77" t="n"/>
      <c r="G13" s="77" t="n"/>
      <c r="H13" s="77" t="n"/>
      <c r="I13" s="77" t="n"/>
      <c r="J13" s="77" t="n"/>
      <c r="K13" s="77" t="n"/>
    </row>
    <row r="14">
      <c r="A14" s="77" t="n"/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</row>
    <row r="15">
      <c r="A15" s="104" t="inlineStr">
        <is>
          <t>Interpretation</t>
        </is>
      </c>
      <c r="B15" s="1" t="n"/>
      <c r="C15" s="1" t="n"/>
      <c r="D15" s="1" t="n"/>
      <c r="E15" s="1" t="n"/>
      <c r="F15" s="1" t="n"/>
      <c r="G15" s="1" t="n"/>
      <c r="H15" s="1" t="n"/>
      <c r="I15" s="77" t="n"/>
      <c r="J15" s="77" t="n"/>
      <c r="K15" s="77" t="n"/>
    </row>
    <row r="16">
      <c r="A16" s="105" t="inlineStr">
        <is>
          <t>This is a CTD-based futures DV01 calculator. Treasury futures exposure is estimated from the current cheapest-to-deliver bond, then adjusted by the conversion factor.</t>
        </is>
      </c>
      <c r="B16" s="1" t="n"/>
      <c r="C16" s="1" t="n"/>
      <c r="D16" s="1" t="n"/>
      <c r="E16" s="1" t="n"/>
      <c r="F16" s="1" t="n"/>
      <c r="G16" s="1" t="n"/>
      <c r="H16" s="1" t="n"/>
      <c r="I16" s="77" t="n"/>
      <c r="J16" s="77" t="n"/>
      <c r="K16" s="77" t="n"/>
    </row>
    <row r="17">
      <c r="A17" s="105" t="inlineStr">
        <is>
          <t>CTD DV01 tells you the cash bond's dollar sensitivity to a 1 bp yield move.</t>
        </is>
      </c>
      <c r="B17" s="1" t="n"/>
      <c r="C17" s="1" t="n"/>
      <c r="D17" s="1" t="n"/>
      <c r="E17" s="1" t="n"/>
      <c r="F17" s="1" t="n"/>
      <c r="G17" s="1" t="n"/>
      <c r="H17" s="1" t="n"/>
      <c r="I17" s="77" t="n"/>
      <c r="J17" s="77" t="n"/>
      <c r="K17" s="77" t="n"/>
    </row>
    <row r="18">
      <c r="A18" s="105" t="inlineStr">
        <is>
          <t>Futures DV01 approximates the futures contract's dollar sensitivity to a 1 bp move in the CTD yield.</t>
        </is>
      </c>
      <c r="B18" s="1" t="n"/>
      <c r="C18" s="1" t="n"/>
      <c r="D18" s="1" t="n"/>
      <c r="E18" s="1" t="n"/>
      <c r="F18" s="1" t="n"/>
      <c r="G18" s="1" t="n"/>
      <c r="H18" s="1" t="n"/>
      <c r="I18" s="77" t="n"/>
      <c r="J18" s="77" t="n"/>
      <c r="K18" s="77" t="n"/>
    </row>
    <row r="19">
      <c r="A19" s="105" t="inlineStr">
        <is>
          <t>The basket matters because the CTD can switch, but first-pass risk usually uses the active CTD rather than an average of the basket.</t>
        </is>
      </c>
      <c r="B19" s="1" t="n"/>
      <c r="C19" s="1" t="n"/>
      <c r="D19" s="1" t="n"/>
      <c r="E19" s="1" t="n"/>
      <c r="F19" s="1" t="n"/>
      <c r="G19" s="1" t="n"/>
      <c r="H19" s="1" t="n"/>
      <c r="I19" s="77" t="n"/>
      <c r="J19" s="77" t="n"/>
      <c r="K19" s="77" t="n"/>
    </row>
    <row r="20">
      <c r="A20" s="105" t="inlineStr">
        <is>
          <t>Hardcoded input cells are blue; formulas are black.</t>
        </is>
      </c>
      <c r="B20" s="1" t="n"/>
      <c r="C20" s="1" t="n"/>
      <c r="D20" s="1" t="n"/>
      <c r="E20" s="1" t="n"/>
      <c r="F20" s="1" t="n"/>
      <c r="G20" s="1" t="n"/>
      <c r="H20" s="1" t="n"/>
      <c r="I20" s="77" t="n"/>
      <c r="J20" s="77" t="n"/>
      <c r="K20" s="77" t="n"/>
    </row>
    <row r="21">
      <c r="A21" s="77" t="n"/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</row>
    <row r="22">
      <c r="A22" s="77" t="n"/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77" t="n"/>
    </row>
    <row r="23">
      <c r="A23" s="77" t="n"/>
      <c r="B23" s="77" t="n"/>
      <c r="C23" s="77" t="n"/>
      <c r="D23" s="77" t="n"/>
      <c r="E23" s="77" t="n"/>
      <c r="F23" s="77" t="n"/>
      <c r="G23" s="77" t="n"/>
      <c r="H23" s="77" t="n"/>
      <c r="I23" s="77" t="n"/>
      <c r="J23" s="77" t="n"/>
      <c r="K23" s="77" t="n"/>
    </row>
    <row r="24">
      <c r="A24" s="77" t="n"/>
      <c r="B24" s="77" t="n"/>
      <c r="C24" s="77" t="n"/>
      <c r="D24" s="77" t="n"/>
      <c r="E24" s="77" t="n"/>
      <c r="F24" s="77" t="n"/>
      <c r="G24" s="77" t="n"/>
      <c r="H24" s="77" t="n"/>
      <c r="I24" s="77" t="n"/>
      <c r="J24" s="77" t="n"/>
      <c r="K24" s="77" t="n"/>
    </row>
    <row r="25">
      <c r="A25" s="77" t="n"/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</row>
    <row r="26">
      <c r="A26" s="77" t="n"/>
      <c r="B26" s="77" t="n"/>
      <c r="C26" s="77" t="n"/>
      <c r="D26" s="77" t="n"/>
      <c r="E26" s="77" t="n"/>
      <c r="F26" s="77" t="n"/>
      <c r="G26" s="77" t="n"/>
      <c r="H26" s="77" t="n"/>
      <c r="I26" s="77" t="n"/>
      <c r="J26" s="77" t="n"/>
      <c r="K26" s="77" t="n"/>
    </row>
    <row r="27">
      <c r="A27" s="77" t="n"/>
      <c r="B27" s="77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</row>
    <row r="28">
      <c r="A28" s="77" t="n"/>
      <c r="B28" s="77" t="n"/>
      <c r="C28" s="77" t="n"/>
      <c r="D28" s="77" t="n"/>
      <c r="E28" s="77" t="n"/>
      <c r="F28" s="77" t="n"/>
      <c r="G28" s="77" t="n"/>
      <c r="H28" s="77" t="n"/>
      <c r="I28" s="77" t="n"/>
      <c r="J28" s="77" t="n"/>
      <c r="K28" s="77" t="n"/>
    </row>
    <row r="29">
      <c r="A29" s="77" t="n"/>
      <c r="B29" s="77" t="n"/>
      <c r="C29" s="77" t="n"/>
      <c r="D29" s="77" t="n"/>
      <c r="E29" s="77" t="n"/>
      <c r="F29" s="77" t="n"/>
      <c r="G29" s="77" t="n"/>
      <c r="H29" s="77" t="n"/>
      <c r="I29" s="77" t="n"/>
      <c r="J29" s="77" t="n"/>
      <c r="K29" s="77" t="n"/>
    </row>
    <row r="30">
      <c r="A30" s="77" t="n"/>
      <c r="B30" s="77" t="n"/>
      <c r="C30" s="77" t="n"/>
      <c r="D30" s="77" t="n"/>
      <c r="E30" s="77" t="n"/>
      <c r="F30" s="77" t="n"/>
      <c r="G30" s="77" t="n"/>
      <c r="H30" s="77" t="n"/>
      <c r="I30" s="77" t="n"/>
      <c r="J30" s="77" t="n"/>
      <c r="K30" s="77" t="n"/>
    </row>
    <row r="31">
      <c r="A31" s="77" t="n"/>
      <c r="B31" s="77" t="n"/>
      <c r="C31" s="77" t="n"/>
      <c r="D31" s="77" t="n"/>
      <c r="E31" s="77" t="n"/>
      <c r="F31" s="77" t="n"/>
      <c r="G31" s="77" t="n"/>
      <c r="H31" s="77" t="n"/>
      <c r="I31" s="77" t="n"/>
      <c r="J31" s="77" t="n"/>
      <c r="K31" s="77" t="n"/>
    </row>
    <row r="32">
      <c r="A32" s="77" t="n"/>
      <c r="B32" s="77" t="n"/>
      <c r="C32" s="77" t="n"/>
      <c r="D32" s="77" t="n"/>
      <c r="E32" s="77" t="n"/>
      <c r="F32" s="77" t="n"/>
      <c r="G32" s="77" t="n"/>
      <c r="H32" s="77" t="n"/>
      <c r="I32" s="77" t="n"/>
      <c r="J32" s="77" t="n"/>
      <c r="K32" s="77" t="n"/>
    </row>
    <row r="33">
      <c r="A33" s="77" t="n"/>
      <c r="B33" s="77" t="n"/>
      <c r="C33" s="77" t="n"/>
      <c r="D33" s="77" t="n"/>
      <c r="E33" s="77" t="n"/>
      <c r="F33" s="77" t="n"/>
      <c r="G33" s="77" t="n"/>
      <c r="H33" s="77" t="n"/>
      <c r="I33" s="77" t="n"/>
      <c r="J33" s="77" t="n"/>
      <c r="K33" s="77" t="n"/>
    </row>
    <row r="34">
      <c r="A34" s="77" t="n"/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/>
    </row>
    <row r="35">
      <c r="A35" s="77" t="n"/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</row>
    <row r="36">
      <c r="A36" s="77" t="n"/>
      <c r="B36" s="77" t="n"/>
      <c r="C36" s="77" t="n"/>
      <c r="D36" s="77" t="n"/>
      <c r="E36" s="77" t="n"/>
      <c r="F36" s="77" t="n"/>
      <c r="G36" s="77" t="n"/>
      <c r="H36" s="77" t="n"/>
      <c r="I36" s="77" t="n"/>
      <c r="J36" s="77" t="n"/>
      <c r="K36" s="77" t="n"/>
    </row>
    <row r="37">
      <c r="A37" s="77" t="n"/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</row>
    <row r="38">
      <c r="A38" s="77" t="n"/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/>
    </row>
    <row r="39">
      <c r="A39" s="77" t="n"/>
      <c r="B39" s="77" t="n"/>
      <c r="C39" s="77" t="n"/>
      <c r="D39" s="77" t="n"/>
      <c r="E39" s="77" t="n"/>
      <c r="F39" s="77" t="n"/>
      <c r="G39" s="77" t="n"/>
      <c r="H39" s="77" t="n"/>
      <c r="I39" s="77" t="n"/>
      <c r="J39" s="77" t="n"/>
      <c r="K39" s="77" t="n"/>
    </row>
    <row r="40">
      <c r="A40" s="77" t="n"/>
      <c r="B40" s="77" t="n"/>
      <c r="C40" s="77" t="n"/>
      <c r="D40" s="77" t="n"/>
      <c r="E40" s="77" t="n"/>
      <c r="F40" s="77" t="n"/>
      <c r="G40" s="77" t="n"/>
      <c r="H40" s="77" t="n"/>
      <c r="I40" s="77" t="n"/>
      <c r="J40" s="77" t="n"/>
      <c r="K40" s="77" t="n"/>
    </row>
    <row r="41">
      <c r="A41" s="77" t="n"/>
      <c r="B41" s="77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</row>
    <row r="42">
      <c r="A42" s="77" t="n"/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/>
    </row>
    <row r="43">
      <c r="A43" s="77" t="n"/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/>
    </row>
    <row r="44">
      <c r="A44" s="77" t="n"/>
      <c r="B44" s="77" t="n"/>
      <c r="C44" s="77" t="n"/>
      <c r="D44" s="77" t="n"/>
      <c r="E44" s="77" t="n"/>
      <c r="F44" s="77" t="n"/>
      <c r="G44" s="77" t="n"/>
      <c r="H44" s="77" t="n"/>
      <c r="I44" s="77" t="n"/>
      <c r="J44" s="77" t="n"/>
      <c r="K44" s="77" t="n"/>
    </row>
    <row r="45">
      <c r="A45" s="77" t="n"/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/>
    </row>
    <row r="46">
      <c r="A46" s="77" t="n"/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/>
    </row>
    <row r="47">
      <c r="A47" s="77" t="n"/>
      <c r="B47" s="77" t="n"/>
      <c r="C47" s="77" t="n"/>
      <c r="D47" s="77" t="n"/>
      <c r="E47" s="77" t="n"/>
      <c r="F47" s="77" t="n"/>
      <c r="G47" s="77" t="n"/>
      <c r="H47" s="77" t="n"/>
      <c r="I47" s="77" t="n"/>
      <c r="J47" s="77" t="n"/>
      <c r="K47" s="77" t="n"/>
    </row>
    <row r="48">
      <c r="A48" s="77" t="n"/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/>
    </row>
    <row r="49">
      <c r="A49" s="77" t="n"/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/>
    </row>
    <row r="50">
      <c r="A50" s="77" t="n"/>
      <c r="B50" s="77" t="n"/>
      <c r="C50" s="77" t="n"/>
      <c r="D50" s="77" t="n"/>
      <c r="E50" s="77" t="n"/>
      <c r="F50" s="77" t="n"/>
      <c r="G50" s="77" t="n"/>
      <c r="H50" s="77" t="n"/>
      <c r="I50" s="77" t="n"/>
      <c r="J50" s="77" t="n"/>
      <c r="K50" s="77" t="n"/>
    </row>
    <row r="51">
      <c r="A51" s="77" t="n"/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/>
    </row>
    <row r="52">
      <c r="A52" s="77" t="n"/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/>
    </row>
    <row r="53">
      <c r="A53" s="77" t="n"/>
      <c r="B53" s="77" t="n"/>
      <c r="C53" s="77" t="n"/>
      <c r="D53" s="77" t="n"/>
      <c r="E53" s="77" t="n"/>
      <c r="F53" s="77" t="n"/>
      <c r="G53" s="77" t="n"/>
      <c r="H53" s="77" t="n"/>
      <c r="I53" s="77" t="n"/>
      <c r="J53" s="77" t="n"/>
      <c r="K53" s="77" t="n"/>
    </row>
    <row r="54">
      <c r="A54" s="77" t="n"/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</row>
    <row r="55">
      <c r="A55" s="77" t="n"/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</row>
    <row r="56">
      <c r="A56" s="77" t="n"/>
      <c r="B56" s="77" t="n"/>
      <c r="C56" s="77" t="n"/>
      <c r="D56" s="77" t="n"/>
      <c r="E56" s="77" t="n"/>
      <c r="F56" s="77" t="n"/>
      <c r="G56" s="77" t="n"/>
      <c r="H56" s="77" t="n"/>
      <c r="I56" s="77" t="n"/>
      <c r="J56" s="77" t="n"/>
      <c r="K56" s="77" t="n"/>
    </row>
    <row r="57">
      <c r="A57" s="77" t="n"/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/>
    </row>
    <row r="58">
      <c r="A58" s="77" t="n"/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/>
    </row>
    <row r="59">
      <c r="A59" s="77" t="n"/>
      <c r="B59" s="77" t="n"/>
      <c r="C59" s="77" t="n"/>
      <c r="D59" s="77" t="n"/>
      <c r="E59" s="77" t="n"/>
      <c r="F59" s="77" t="n"/>
      <c r="G59" s="77" t="n"/>
      <c r="H59" s="77" t="n"/>
      <c r="I59" s="77" t="n"/>
      <c r="J59" s="77" t="n"/>
      <c r="K59" s="77" t="n"/>
    </row>
    <row r="60">
      <c r="A60" s="77" t="n"/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/>
    </row>
  </sheetData>
  <mergeCells count="8">
    <mergeCell ref="A18:H18"/>
    <mergeCell ref="A3:H3"/>
    <mergeCell ref="A15:H15"/>
    <mergeCell ref="A20:H20"/>
    <mergeCell ref="A16:H16"/>
    <mergeCell ref="A19:H19"/>
    <mergeCell ref="A1:H1"/>
    <mergeCell ref="A17:H17"/>
  </mergeCells>
  <dataValidations count="1">
    <dataValidation sqref="B12" showDropDown="0" showInputMessage="0" showErrorMessage="0" allowBlank="0" type="list">
      <formula1>"Long,Short"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  <col width="40" customWidth="1" min="2" max="2"/>
    <col width="44" customWidth="1" min="3" max="3"/>
    <col width="24" customWidth="1" min="4" max="4"/>
    <col width="56" customWidth="1" min="5" max="5"/>
  </cols>
  <sheetData>
    <row r="1" ht="28" customHeight="1">
      <c r="A1" s="126" t="inlineStr">
        <is>
          <t>student-cme-ust-dv01-calculator</t>
        </is>
      </c>
    </row>
    <row r="2">
      <c r="A2" t="inlineStr"/>
    </row>
    <row r="3">
      <c r="A3" t="inlineStr">
        <is>
          <t>What this is:</t>
        </is>
      </c>
    </row>
    <row r="4">
      <c r="A4" t="inlineStr">
        <is>
          <t>A simple student project for understanding CME Treasury futures rate exposure using CTD mechanics.</t>
        </is>
      </c>
    </row>
    <row r="5">
      <c r="A5" t="inlineStr"/>
    </row>
    <row r="6">
      <c r="A6" t="inlineStr">
        <is>
          <t>What this is NOT:</t>
        </is>
      </c>
    </row>
    <row r="7">
      <c r="A7" t="inlineStr">
        <is>
          <t>A Bloomberg replacement, production risk engine, or fancy quant platform.</t>
        </is>
      </c>
    </row>
    <row r="8">
      <c r="A8" t="inlineStr"/>
    </row>
    <row r="9">
      <c r="A9" t="inlineStr">
        <is>
          <t>The point of this project is honestly pretty simple:</t>
        </is>
      </c>
    </row>
    <row r="10">
      <c r="A10" t="inlineStr">
        <is>
          <t>Most people talk about Treasury futures exposure vaguely.</t>
        </is>
      </c>
    </row>
    <row r="11">
      <c r="A11" t="inlineStr">
        <is>
          <t>This sheet forces you to think in actual DV01 terms instead of contract-count brainrot.</t>
        </is>
      </c>
    </row>
    <row r="12">
      <c r="A12" t="inlineStr"/>
    </row>
    <row r="13">
      <c r="A13" t="inlineStr">
        <is>
          <t>Core Logic:</t>
        </is>
      </c>
    </row>
    <row r="14">
      <c r="A14" t="inlineStr">
        <is>
          <t>1. Estimate CTD DV01</t>
        </is>
      </c>
    </row>
    <row r="15">
      <c r="A15" t="inlineStr">
        <is>
          <t>2. Adjust using the CME conversion factor</t>
        </is>
      </c>
    </row>
    <row r="16">
      <c r="A16" t="inlineStr">
        <is>
          <t>3. Derive futures DV01</t>
        </is>
      </c>
    </row>
    <row r="17">
      <c r="A17" t="inlineStr"/>
    </row>
    <row r="18">
      <c r="A18" t="inlineStr">
        <is>
          <t>Main Formula:</t>
        </is>
      </c>
    </row>
    <row r="19">
      <c r="A19" t="inlineStr">
        <is>
          <t>CTD DV01 = (Price/100) × Face Value × Modified Duration × 0.0001</t>
        </is>
      </c>
    </row>
    <row r="20">
      <c r="A20" t="inlineStr"/>
    </row>
    <row r="21">
      <c r="A21" t="inlineStr">
        <is>
          <t>Then:</t>
        </is>
      </c>
    </row>
    <row r="22">
      <c r="A22" t="inlineStr">
        <is>
          <t>Futures DV01 = CTD DV01 / Conversion Factor</t>
        </is>
      </c>
    </row>
    <row r="23">
      <c r="A23" t="inlineStr"/>
    </row>
    <row r="24">
      <c r="A24" t="inlineStr">
        <is>
          <t>That is basically the entire project.</t>
        </is>
      </c>
    </row>
    <row r="25">
      <c r="A25" t="inlineStr"/>
    </row>
    <row r="26">
      <c r="A26" t="inlineStr">
        <is>
          <t>Why this matters:</t>
        </is>
      </c>
    </row>
    <row r="27">
      <c r="A27" t="inlineStr">
        <is>
          <t>Treasury futures are not just directional gambling objects.</t>
        </is>
      </c>
    </row>
    <row r="28">
      <c r="A28" t="inlineStr">
        <is>
          <t>The actual exposure depends on the cheapest-to-deliver bond.</t>
        </is>
      </c>
    </row>
    <row r="29">
      <c r="A29" t="inlineStr"/>
    </row>
    <row r="30">
      <c r="A30" t="inlineStr">
        <is>
          <t>Future Ideas (maybe someday):</t>
        </is>
      </c>
    </row>
    <row r="31">
      <c r="A31" t="inlineStr">
        <is>
          <t>- CTD switching</t>
        </is>
      </c>
    </row>
    <row r="32">
      <c r="A32" t="inlineStr">
        <is>
          <t>- Basket analytics</t>
        </is>
      </c>
    </row>
    <row r="33">
      <c r="A33" t="inlineStr">
        <is>
          <t>- Curve trade hedge ratios</t>
        </is>
      </c>
    </row>
    <row r="34">
      <c r="A34" t="inlineStr">
        <is>
          <t>- Implied repo</t>
        </is>
      </c>
    </row>
    <row r="35">
      <c r="A35" t="inlineStr">
        <is>
          <t>- Futures butterflies</t>
        </is>
      </c>
    </row>
    <row r="36">
      <c r="A36" t="inlineStr"/>
    </row>
    <row r="37">
      <c r="A37" t="inlineStr">
        <is>
          <t>But for now:</t>
        </is>
      </c>
    </row>
    <row r="38">
      <c r="A38" t="inlineStr">
        <is>
          <t>Simple. Clean. Functional.</t>
        </is>
      </c>
    </row>
    <row r="39">
      <c r="A39" t="inlineStr"/>
    </row>
    <row r="40">
      <c r="A40" t="inlineStr">
        <is>
          <t>Because honestly half of finance education is just pretending complexity equals intelligence.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2026-05-20T23:12:51Z</dcterms:created>
  <dcterms:modified xmlns:dcterms="http://purl.org/dc/terms/" xmlns:xsi="http://www.w3.org/2001/XMLSchema-instance" xsi:type="dcterms:W3CDTF">2026-05-20T23:12:52Z</dcterms:modified>
</cp:coreProperties>
</file>